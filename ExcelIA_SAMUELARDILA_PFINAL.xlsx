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39202cfd2ff2e50/Escritorio/"/>
    </mc:Choice>
  </mc:AlternateContent>
  <xr:revisionPtr revIDLastSave="0" documentId="8_{5D4DE83F-D62C-4FEF-9EE8-0E5CF226E21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ortada" sheetId="1" r:id="rId1"/>
    <sheet name="Datos" sheetId="2" r:id="rId2"/>
    <sheet name="Analisis" sheetId="3" r:id="rId3"/>
    <sheet name="Pronostic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7" i="4" l="1"/>
  <c r="A26" i="4"/>
  <c r="A25" i="4"/>
  <c r="B13" i="4"/>
  <c r="B11" i="4"/>
  <c r="B30" i="3"/>
  <c r="B24" i="4" s="1"/>
  <c r="B29" i="3"/>
  <c r="B23" i="4" s="1"/>
  <c r="B28" i="3"/>
  <c r="B22" i="4" s="1"/>
  <c r="B27" i="3"/>
  <c r="B21" i="4" s="1"/>
  <c r="B26" i="3"/>
  <c r="B20" i="4" s="1"/>
  <c r="B25" i="3"/>
  <c r="B19" i="4" s="1"/>
  <c r="B24" i="3"/>
  <c r="B18" i="4" s="1"/>
  <c r="B23" i="3"/>
  <c r="B17" i="4" s="1"/>
  <c r="B22" i="3"/>
  <c r="B16" i="4" s="1"/>
  <c r="B21" i="3"/>
  <c r="B15" i="4" s="1"/>
  <c r="B20" i="3"/>
  <c r="B14" i="4" s="1"/>
  <c r="B19" i="3"/>
  <c r="B18" i="3"/>
  <c r="B12" i="4" s="1"/>
  <c r="B17" i="3"/>
  <c r="B16" i="3"/>
  <c r="B10" i="4" s="1"/>
  <c r="G15" i="3"/>
  <c r="B15" i="3"/>
  <c r="B9" i="4" s="1"/>
  <c r="G14" i="3"/>
  <c r="B14" i="3"/>
  <c r="B8" i="4" s="1"/>
  <c r="G13" i="3"/>
  <c r="H6" i="3" s="1"/>
  <c r="B13" i="3"/>
  <c r="B8" i="3" s="1"/>
  <c r="B6" i="3"/>
  <c r="B7" i="4" l="1"/>
  <c r="E6" i="3"/>
  <c r="C27" i="4" l="1"/>
  <c r="C26" i="4"/>
  <c r="C25" i="4"/>
  <c r="F9" i="4" l="1"/>
  <c r="F7" i="4"/>
</calcChain>
</file>

<file path=xl/sharedStrings.xml><?xml version="1.0" encoding="utf-8"?>
<sst xmlns="http://schemas.openxmlformats.org/spreadsheetml/2006/main" count="156" uniqueCount="56">
  <si>
    <t>Proyecto Final</t>
  </si>
  <si>
    <t>Domina Excel con IA</t>
  </si>
  <si>
    <t>Tema del proyecto</t>
  </si>
  <si>
    <t>Análisis de ventas mensuales con proyección del próximo trimestre</t>
  </si>
  <si>
    <t>Pregunta clave</t>
  </si>
  <si>
    <t>¿En qué mes del próximo trimestre se proyectan mayores ventas y qué categoría lidera el acumulado?</t>
  </si>
  <si>
    <t>Fuente de datos</t>
  </si>
  <si>
    <t>Datos sintéticos creados con fines académicos</t>
  </si>
  <si>
    <t>Herramientas usadas</t>
  </si>
  <si>
    <t>Excel (gráficos, tablas y pronóstico) + IA complementaria para estructurar el análisis</t>
  </si>
  <si>
    <t>Nombre del estudiante</t>
  </si>
  <si>
    <t>Fecha</t>
  </si>
  <si>
    <t>Resumen del proyecto</t>
  </si>
  <si>
    <t>Este libro presenta un caso simple y realista de análisis de ventas. Se organiza una base de datos de 54 registros, se construyen resúmenes automáticos con fórmulas, se generan visualizaciones y se proyectan los siguientes 3 meses para responder la pregunta clave del proyecto.</t>
  </si>
  <si>
    <t>Resultado principal: la categoría líder es Tecnología y, según la proyección lineal, el mes con mayores ventas del próximo trimestre sería September 2025.</t>
  </si>
  <si>
    <t>Base de datos de ventas</t>
  </si>
  <si>
    <t>Año</t>
  </si>
  <si>
    <t>Mes</t>
  </si>
  <si>
    <t>Categoría</t>
  </si>
  <si>
    <t>Ventas</t>
  </si>
  <si>
    <t>January</t>
  </si>
  <si>
    <t>Tecnología</t>
  </si>
  <si>
    <t>Hogar</t>
  </si>
  <si>
    <t>Oficina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</si>
  <si>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</si>
  <si>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</si>
  <si>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</si>
  <si>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</si>
  <si>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</si>
  <si>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</si>
  <si>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</si>
  <si>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</si>
  <si>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</si>
  <si>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</si>
  <si>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</si>
  <si>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Análisis y visualización</t>
  </si>
  <si>
    <t>Pregunta clave: ¿En qué mes del próximo trimestre se proyectan mayores ventas y qué categoría lidera el acumulado?</t>
  </si>
  <si>
    <t>Ventas totales del período</t>
  </si>
  <si>
    <t>Promedio mensual</t>
  </si>
  <si>
    <t>Categoría líder</t>
  </si>
  <si>
    <t>Mes real con mayor venta</t>
  </si>
  <si>
    <t>Mes proyectado con mayor venta</t>
  </si>
  <si>
    <t>Conclusión rápida</t>
  </si>
  <si>
    <t>La proyección muestra crecimiento sostenido y Tecnología es la categoría con mayor aporte.</t>
  </si>
  <si>
    <t>Ventas mensuales</t>
  </si>
  <si>
    <t>Ventas acumuladas</t>
  </si>
  <si>
    <t>Interpretación: las ventas muestran una tendencia ascendente durante el período. El gráfico mensual permite ver el crecimiento y la tabla por categoría confirma que Tecnología es la línea con mayor participación en el total.</t>
  </si>
  <si>
    <t>Pronóstico del próximo trimestre</t>
  </si>
  <si>
    <t>Venta real</t>
  </si>
  <si>
    <t>Proyección</t>
  </si>
  <si>
    <t>Índice</t>
  </si>
  <si>
    <t>Mes con mayor proyección</t>
  </si>
  <si>
    <t>Valor proyectado</t>
  </si>
  <si>
    <t>SAMUEL STEVEN ARDILA</t>
  </si>
  <si>
    <t>September 2025</t>
  </si>
  <si>
    <t>Esta hoja usa una proyección lineal sobre las ventas mensuales históricas.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</si>
</sst>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mmmm\ yyyy"/>
  </numFmts>
  <fonts count="14" x14ac:knownFonts="1">
    <font>
      <sz val="11"/>
      <color theme="1"/>
      <name val="Calibri"/>
      <family val="2"/>
      <charset val="1"/>
    </font>
    <font>
      <b/>
      <sz val="28"/>
      <color rgb="FFC000C0"/>
      <name val="Cambria"/>
      <charset val="1"/>
    </font>
    <font>
      <b/>
      <sz val="24"/>
      <color rgb="FF11C5BF"/>
      <name val="Cambria"/>
      <charset val="1"/>
    </font>
    <font>
      <b/>
      <sz val="11"/>
      <color rgb="FF303030"/>
      <name val="Cambria"/>
      <charset val="1"/>
    </font>
    <font>
      <sz val="11"/>
      <color rgb="FF303030"/>
      <name val="Cambria"/>
      <charset val="1"/>
    </font>
    <font>
      <b/>
      <sz val="14"/>
      <color rgb="FFFFFFFF"/>
      <name val="Cambria"/>
      <charset val="1"/>
    </font>
    <font>
      <b/>
      <sz val="14"/>
      <color rgb="FF0F766E"/>
      <name val="Cambria"/>
      <charset val="1"/>
    </font>
    <font>
      <b/>
      <sz val="18"/>
      <color rgb="FFFFFFFF"/>
      <name val="Cambria"/>
      <charset val="1"/>
    </font>
    <font>
      <b/>
      <sz val="11"/>
      <color rgb="FFFFFFFF"/>
      <name val="Cambria"/>
      <charset val="1"/>
    </font>
    <font>
      <b/>
      <sz val="12"/>
      <color rgb="FF303030"/>
      <name val="Cambria"/>
      <charset val="1"/>
    </font>
    <font>
      <b/>
      <sz val="11"/>
      <name val="Cambria"/>
      <charset val="1"/>
    </font>
    <font>
      <sz val="10"/>
      <name val="Cambria"/>
      <charset val="1"/>
    </font>
    <font>
      <sz val="10"/>
      <color rgb="FF303030"/>
      <name val="Cambria"/>
      <charset val="1"/>
    </font>
    <font>
      <sz val="11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F8DFF7"/>
        <bgColor rgb="FFF4F4F6"/>
      </patternFill>
    </fill>
    <fill>
      <patternFill patternType="solid">
        <fgColor rgb="FFC000C0"/>
        <bgColor rgb="FFFF00FF"/>
      </patternFill>
    </fill>
    <fill>
      <patternFill patternType="solid">
        <fgColor rgb="FFF4F4F6"/>
        <bgColor rgb="FFFFFFFF"/>
      </patternFill>
    </fill>
    <fill>
      <patternFill patternType="solid">
        <fgColor rgb="FFDDF8F7"/>
        <bgColor rgb="FFF4F4F6"/>
      </patternFill>
    </fill>
    <fill>
      <patternFill patternType="solid">
        <fgColor rgb="FF11C5BF"/>
        <bgColor rgb="FF00CCFF"/>
      </patternFill>
    </fill>
    <fill>
      <patternFill patternType="solid">
        <fgColor rgb="FFFFFFFF"/>
        <bgColor rgb="FFF4F4F6"/>
      </patternFill>
    </fill>
  </fills>
  <borders count="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medium">
        <color rgb="FF11C5BF"/>
      </bottom>
      <diagonal/>
    </border>
    <border>
      <left style="medium">
        <color rgb="FF11C5BF"/>
      </left>
      <right/>
      <top/>
      <bottom/>
      <diagonal/>
    </border>
    <border>
      <left/>
      <right style="medium">
        <color rgb="FF11C5BF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3" fillId="4" borderId="0" xfId="0" applyFont="1" applyFill="1" applyAlignment="1">
      <alignment vertical="center" wrapText="1"/>
    </xf>
    <xf numFmtId="0" fontId="7" fillId="6" borderId="0" xfId="0" applyFont="1" applyFill="1" applyAlignment="1">
      <alignment horizontal="left" vertical="center"/>
    </xf>
    <xf numFmtId="0" fontId="12" fillId="4" borderId="0" xfId="0" applyFont="1" applyFill="1" applyAlignment="1">
      <alignment vertical="top" wrapText="1"/>
    </xf>
    <xf numFmtId="0" fontId="9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top" wrapText="1"/>
    </xf>
    <xf numFmtId="0" fontId="5" fillId="3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3" fillId="5" borderId="3" xfId="0" applyFont="1" applyFill="1" applyBorder="1" applyAlignment="1">
      <alignment horizontal="left" vertical="center"/>
    </xf>
    <xf numFmtId="165" fontId="9" fillId="7" borderId="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49" fontId="9" fillId="7" borderId="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66" fontId="10" fillId="0" borderId="0" xfId="0" applyNumberFormat="1" applyFont="1" applyAlignment="1">
      <alignment vertical="center"/>
    </xf>
    <xf numFmtId="0" fontId="3" fillId="5" borderId="0" xfId="0" applyFont="1" applyFill="1" applyAlignment="1">
      <alignment vertical="center"/>
    </xf>
    <xf numFmtId="0" fontId="11" fillId="0" borderId="0" xfId="0" applyFont="1" applyAlignment="1">
      <alignment wrapText="1"/>
    </xf>
    <xf numFmtId="0" fontId="8" fillId="3" borderId="2" xfId="0" applyFont="1" applyFill="1" applyBorder="1" applyAlignment="1">
      <alignment horizontal="center" vertical="center"/>
    </xf>
    <xf numFmtId="1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10" fillId="7" borderId="0" xfId="0" applyNumberFormat="1" applyFont="1" applyFill="1" applyAlignment="1">
      <alignment vertical="center"/>
    </xf>
    <xf numFmtId="165" fontId="10" fillId="7" borderId="0" xfId="0" applyNumberFormat="1" applyFont="1" applyFill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000C0"/>
      <rgbColor rgb="FF00FFFF"/>
      <rgbColor rgb="FF800000"/>
      <rgbColor rgb="FF008000"/>
      <rgbColor rgb="FF000080"/>
      <rgbColor rgb="FF808000"/>
      <rgbColor rgb="FF800080"/>
      <rgbColor rgb="FF0F766E"/>
      <rgbColor rgb="FFD9D9D9"/>
      <rgbColor rgb="FF878787"/>
      <rgbColor rgb="FF9999FF"/>
      <rgbColor rgb="FFBE4B48"/>
      <rgbColor rgb="FFF4F4F6"/>
      <rgbColor rgb="FFDDF8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DFF7"/>
      <rgbColor rgb="FFCCFFCC"/>
      <rgbColor rgb="FFFFFF99"/>
      <rgbColor rgb="FF99CCFF"/>
      <rgbColor rgb="FFFF99CC"/>
      <rgbColor rgb="FFCC99FF"/>
      <rgbColor rgb="FFFFCC99"/>
      <rgbColor rgb="FF4F81BD"/>
      <rgbColor rgb="FF11C5BF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Ventas mensuales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Analisis!$B$12</c:f>
              <c:strCache>
                <c:ptCount val="1"/>
                <c:pt idx="0">
                  <c:v>Ventas mensuales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Analisis!$A$13:$A$30</c:f>
              <c:numCache>
                <c:formatCode>mmm\-yy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Analisis!$B$13:$B$30</c:f>
              <c:numCache>
                <c:formatCode>\$#,##0</c:formatCode>
                <c:ptCount val="18"/>
                <c:pt idx="0">
                  <c:v>84400</c:v>
                </c:pt>
                <c:pt idx="1">
                  <c:v>88200</c:v>
                </c:pt>
                <c:pt idx="2">
                  <c:v>94200</c:v>
                </c:pt>
                <c:pt idx="3">
                  <c:v>97600</c:v>
                </c:pt>
                <c:pt idx="4">
                  <c:v>101400</c:v>
                </c:pt>
                <c:pt idx="5">
                  <c:v>106500</c:v>
                </c:pt>
                <c:pt idx="6">
                  <c:v>108000</c:v>
                </c:pt>
                <c:pt idx="7">
                  <c:v>113900</c:v>
                </c:pt>
                <c:pt idx="8">
                  <c:v>120400</c:v>
                </c:pt>
                <c:pt idx="9">
                  <c:v>128300</c:v>
                </c:pt>
                <c:pt idx="10">
                  <c:v>138600</c:v>
                </c:pt>
                <c:pt idx="11">
                  <c:v>153200</c:v>
                </c:pt>
                <c:pt idx="12">
                  <c:v>114000</c:v>
                </c:pt>
                <c:pt idx="13">
                  <c:v>118200</c:v>
                </c:pt>
                <c:pt idx="14">
                  <c:v>125400</c:v>
                </c:pt>
                <c:pt idx="15">
                  <c:v>129200</c:v>
                </c:pt>
                <c:pt idx="16">
                  <c:v>133400</c:v>
                </c:pt>
                <c:pt idx="17">
                  <c:v>139300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6F-4F2E-A2DC-23B32EF74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730945"/>
        <c:axId val="4897627"/>
      </c:lineChart>
      <c:dateAx>
        <c:axId val="547309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4897627"/>
        <c:crosses val="autoZero"/>
        <c:auto val="1"/>
        <c:lblOffset val="100"/>
        <c:baseTimeUnit val="months"/>
      </c:dateAx>
      <c:valAx>
        <c:axId val="4897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Ventas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547309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Ventas acumuladas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Analisis!$G$12</c:f>
              <c:strCache>
                <c:ptCount val="1"/>
                <c:pt idx="0">
                  <c:v>Ventas acumuladas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Analisis!$F$13:$F$15</c:f>
              <c:strCache>
                <c:ptCount val="3"/>
                <c:pt idx="0">
                  <c:v>Tecnología</c:v>
                </c:pt>
                <c:pt idx="1">
                  <c:v>Hogar</c:v>
                </c:pt>
                <c:pt idx="2">
                  <c:v>Oficina</c:v>
                </c:pt>
              </c:strCache>
            </c:strRef>
          </c:cat>
          <c:val>
            <c:numRef>
              <c:f>Analisis!$G$13:$G$15</c:f>
              <c:numCache>
                <c:formatCode>\$#,##0</c:formatCode>
                <c:ptCount val="3"/>
                <c:pt idx="0">
                  <c:v>1055000</c:v>
                </c:pt>
                <c:pt idx="1">
                  <c:v>633700</c:v>
                </c:pt>
                <c:pt idx="2">
                  <c:v>405500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2-40A3-93A5-34F438E93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73294"/>
        <c:axId val="13361946"/>
      </c:barChart>
      <c:catAx>
        <c:axId val="233732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13361946"/>
        <c:crosses val="autoZero"/>
        <c:auto val="1"/>
        <c:lblAlgn val="ctr"/>
        <c:lblOffset val="100"/>
        <c:noMultiLvlLbl val="0"/>
      </c:catAx>
      <c:valAx>
        <c:axId val="13361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Ventas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233732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Ventas reales vs. proyección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Pronostico!$B$6</c:f>
              <c:strCache>
                <c:ptCount val="1"/>
                <c:pt idx="0">
                  <c:v>Venta real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Pronostico!$A$7:$A$27</c:f>
              <c:numCache>
                <c:formatCode>mmm\-yy</c:formatCode>
                <c:ptCount val="2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</c:numCache>
            </c:numRef>
          </c:cat>
          <c:val>
            <c:numRef>
              <c:f>Pronostico!$B$7:$B$27</c:f>
              <c:numCache>
                <c:formatCode>\$#,##0</c:formatCode>
                <c:ptCount val="21"/>
                <c:pt idx="0">
                  <c:v>84400</c:v>
                </c:pt>
                <c:pt idx="1">
                  <c:v>88200</c:v>
                </c:pt>
                <c:pt idx="2">
                  <c:v>94200</c:v>
                </c:pt>
                <c:pt idx="3">
                  <c:v>97600</c:v>
                </c:pt>
                <c:pt idx="4">
                  <c:v>101400</c:v>
                </c:pt>
                <c:pt idx="5">
                  <c:v>106500</c:v>
                </c:pt>
                <c:pt idx="6">
                  <c:v>108000</c:v>
                </c:pt>
                <c:pt idx="7">
                  <c:v>113900</c:v>
                </c:pt>
                <c:pt idx="8">
                  <c:v>120400</c:v>
                </c:pt>
                <c:pt idx="9">
                  <c:v>128300</c:v>
                </c:pt>
                <c:pt idx="10">
                  <c:v>138600</c:v>
                </c:pt>
                <c:pt idx="11">
                  <c:v>153200</c:v>
                </c:pt>
                <c:pt idx="12">
                  <c:v>114000</c:v>
                </c:pt>
                <c:pt idx="13">
                  <c:v>118200</c:v>
                </c:pt>
                <c:pt idx="14">
                  <c:v>125400</c:v>
                </c:pt>
                <c:pt idx="15">
                  <c:v>129200</c:v>
                </c:pt>
                <c:pt idx="16">
                  <c:v>133400</c:v>
                </c:pt>
                <c:pt idx="17">
                  <c:v>139300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12-4A4C-97D0-0167D366A199}"/>
            </c:ext>
          </c:extLst>
        </c:ser>
        <c:ser>
          <c:idx val="1"/>
          <c:order val="1"/>
          <c:tx>
            <c:strRef>
              <c:f>Pronostico!$C$6</c:f>
              <c:strCache>
                <c:ptCount val="1"/>
                <c:pt idx="0">
                  <c:v>Proyección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Pronostico!$A$7:$A$27</c:f>
              <c:numCache>
                <c:formatCode>mmm\-yy</c:formatCode>
                <c:ptCount val="2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</c:numCache>
            </c:numRef>
          </c:cat>
          <c:val>
            <c:numRef>
              <c:f>Pronostico!$C$7:$C$27</c:f>
              <c:numCache>
                <c:formatCode>General</c:formatCode>
                <c:ptCount val="21"/>
                <c:pt idx="18" formatCode="\$#,##0">
                  <c:v>144616.9934640523</c:v>
                </c:pt>
                <c:pt idx="19" formatCode="\$#,##0">
                  <c:v>147593.05125558996</c:v>
                </c:pt>
                <c:pt idx="20" formatCode="\$#,##0">
                  <c:v>150569.10904712763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12-4A4C-97D0-0167D366A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408279"/>
        <c:axId val="24876442"/>
      </c:lineChart>
      <c:dateAx>
        <c:axId val="24408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24876442"/>
        <c:crosses val="autoZero"/>
        <c:auto val="1"/>
        <c:lblOffset val="100"/>
        <c:baseTimeUnit val="months"/>
      </c:dateAx>
      <c:valAx>
        <c:axId val="24876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Ventas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24408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326571</xdr:colOff>
      <xdr:row>30</xdr:row>
      <xdr:rowOff>80209</xdr:rowOff>
    </xdr:from>
    <xdr:to>
      <xdr:col>3</xdr:col>
      <xdr:colOff>1169011</xdr:colOff>
      <xdr:row>45</xdr:row>
      <xdr:rowOff>99717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1106715</xdr:colOff>
      <xdr:row>22</xdr:row>
      <xdr:rowOff>194689</xdr:rowOff>
    </xdr:from>
    <xdr:to>
      <xdr:col>7</xdr:col>
      <xdr:colOff>1256538</xdr:colOff>
      <xdr:row>35</xdr:row>
      <xdr:rowOff>132555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649941</xdr:colOff>
      <xdr:row>28</xdr:row>
      <xdr:rowOff>67235</xdr:rowOff>
    </xdr:from>
    <xdr:to>
      <xdr:col>6</xdr:col>
      <xdr:colOff>429129</xdr:colOff>
      <xdr:row>45</xdr:row>
      <xdr:rowOff>68675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ntas" displayName="tblVentas" ref="A2:E56" totalsRowShown="0">
  <autoFilter ref="A2:E56" xr:uid="{00000000-0009-0000-0100-000001000000}"/>
  <tableColumns count="5">
    <tableColumn id="1" xr3:uid="{00000000-0010-0000-0000-000001000000}" name="Fecha"/>
    <tableColumn id="2" xr3:uid="{00000000-0010-0000-0000-000002000000}" name="Año"/>
    <tableColumn id="3" xr3:uid="{00000000-0010-0000-0000-000003000000}" name="Mes"/>
    <tableColumn id="4" xr3:uid="{00000000-0010-0000-0000-000004000000}" name="Categoría"/>
    <tableColumn id="5" xr3:uid="{00000000-0010-0000-0000-000005000000}" name="Ven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2B45CC-B8D0-48B7-BFD5-FA51323FC633}">
  <we:reference id="wa200005502" version="1.0.0.12" store="es-ES" storeType="OMEX"/>
  <we:alternateReferences>
    <we:reference id="wa200005502" version="1.0.0.12" store="wa200005502" storeType="OMEX"/>
  </we:alternateReferences>
  <we:properties>
    <we:property name="docId" value="&quot;erhOx4EtjzCLGZ7ONIuse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7"/>
  <sheetViews>
    <sheetView showGridLines="0" zoomScale="85" zoomScaleNormal="85" workbookViewId="0">
      <selection activeCell="B16" sqref="B16:J21"/>
    </sheetView>
  </sheetViews>
  <sheetFormatPr baseColWidth="10" defaultColWidth="8.6328125" defaultRowHeight="15" customHeight="1" x14ac:dyDescent="0.35"/>
  <cols>
    <col min="1" max="1" width="16" customWidth="1"/>
    <col min="2" max="2" width="21.453125" customWidth="1"/>
    <col min="3" max="3" width="58.26953125" customWidth="1"/>
    <col min="4" max="12" width="16" customWidth="1"/>
  </cols>
  <sheetData>
    <row r="1" spans="2:10" ht="24" customHeight="1" x14ac:dyDescent="0.35"/>
    <row r="2" spans="2:10" ht="24" customHeight="1" x14ac:dyDescent="0.65">
      <c r="B2" s="9" t="s">
        <v>0</v>
      </c>
    </row>
    <row r="3" spans="2:10" ht="24" customHeight="1" x14ac:dyDescent="0.6">
      <c r="B3" s="10" t="s">
        <v>1</v>
      </c>
    </row>
    <row r="4" spans="2:10" ht="24" customHeight="1" x14ac:dyDescent="0.35"/>
    <row r="5" spans="2:10" ht="24" customHeight="1" x14ac:dyDescent="0.35">
      <c r="B5" s="11" t="s">
        <v>2</v>
      </c>
      <c r="C5" s="12" t="s">
        <v>3</v>
      </c>
    </row>
    <row r="6" spans="2:10" ht="24" customHeight="1" x14ac:dyDescent="0.35">
      <c r="B6" s="11" t="s">
        <v>4</v>
      </c>
      <c r="C6" s="12" t="s">
        <v>5</v>
      </c>
    </row>
    <row r="7" spans="2:10" ht="24" customHeight="1" x14ac:dyDescent="0.35">
      <c r="B7" s="11" t="s">
        <v>6</v>
      </c>
      <c r="C7" s="12" t="s">
        <v>7</v>
      </c>
    </row>
    <row r="8" spans="2:10" ht="24" customHeight="1" x14ac:dyDescent="0.35">
      <c r="B8" s="11" t="s">
        <v>8</v>
      </c>
      <c r="C8" s="12" t="s">
        <v>9</v>
      </c>
    </row>
    <row r="9" spans="2:10" ht="24" customHeight="1" x14ac:dyDescent="0.35"/>
    <row r="10" spans="2:10" ht="24" customHeight="1" x14ac:dyDescent="0.35">
      <c r="B10" s="11" t="s">
        <v>10</v>
      </c>
      <c r="C10" s="12" t="s">
        <v>53</v>
      </c>
    </row>
    <row r="11" spans="2:10" ht="24" customHeight="1" x14ac:dyDescent="0.35">
      <c r="B11" s="11"/>
      <c r="C11" s="12"/>
    </row>
    <row r="12" spans="2:10" ht="24" customHeight="1" x14ac:dyDescent="0.35">
      <c r="B12" s="11" t="s">
        <v>11</v>
      </c>
      <c r="C12" s="13">
        <v>46091.960495266198</v>
      </c>
    </row>
    <row r="13" spans="2:10" ht="24" customHeight="1" x14ac:dyDescent="0.35"/>
    <row r="14" spans="2:10" ht="24" customHeight="1" x14ac:dyDescent="0.35"/>
    <row r="15" spans="2:10" ht="24" customHeight="1" x14ac:dyDescent="0.35">
      <c r="B15" s="8" t="s">
        <v>12</v>
      </c>
      <c r="C15" s="8"/>
      <c r="D15" s="8"/>
      <c r="E15" s="8"/>
      <c r="F15" s="8"/>
      <c r="G15" s="8"/>
      <c r="H15" s="8"/>
      <c r="I15" s="8"/>
      <c r="J15" s="8"/>
    </row>
    <row r="16" spans="2:10" ht="24" customHeight="1" x14ac:dyDescent="0.35">
      <c r="B16" s="7" t="s">
        <v>13</v>
      </c>
      <c r="C16" s="7"/>
      <c r="D16" s="7"/>
      <c r="E16" s="7"/>
      <c r="F16" s="7"/>
      <c r="G16" s="7"/>
      <c r="H16" s="7"/>
      <c r="I16" s="7"/>
      <c r="J16" s="7"/>
    </row>
    <row r="17" spans="2:10" ht="24" customHeight="1" x14ac:dyDescent="0.35">
      <c r="B17" s="7"/>
      <c r="C17" s="7"/>
      <c r="D17" s="7"/>
      <c r="E17" s="7"/>
      <c r="F17" s="7"/>
      <c r="G17" s="7"/>
      <c r="H17" s="7"/>
      <c r="I17" s="7"/>
      <c r="J17" s="7"/>
    </row>
    <row r="18" spans="2:10" ht="24" customHeight="1" x14ac:dyDescent="0.35">
      <c r="B18" s="7"/>
      <c r="C18" s="7"/>
      <c r="D18" s="7"/>
      <c r="E18" s="7"/>
      <c r="F18" s="7"/>
      <c r="G18" s="7"/>
      <c r="H18" s="7"/>
      <c r="I18" s="7"/>
      <c r="J18" s="7"/>
    </row>
    <row r="19" spans="2:10" ht="24" customHeight="1" x14ac:dyDescent="0.35">
      <c r="B19" s="7"/>
      <c r="C19" s="7"/>
      <c r="D19" s="7"/>
      <c r="E19" s="7"/>
      <c r="F19" s="7"/>
      <c r="G19" s="7"/>
      <c r="H19" s="7"/>
      <c r="I19" s="7"/>
      <c r="J19" s="7"/>
    </row>
    <row r="20" spans="2:10" ht="24" customHeight="1" x14ac:dyDescent="0.35">
      <c r="B20" s="7"/>
      <c r="C20" s="7"/>
      <c r="D20" s="7"/>
      <c r="E20" s="7"/>
      <c r="F20" s="7"/>
      <c r="G20" s="7"/>
      <c r="H20" s="7"/>
      <c r="I20" s="7"/>
      <c r="J20" s="7"/>
    </row>
    <row r="21" spans="2:10" ht="24" customHeight="1" x14ac:dyDescent="0.35">
      <c r="B21" s="7"/>
      <c r="C21" s="7"/>
      <c r="D21" s="7"/>
      <c r="E21" s="7"/>
      <c r="F21" s="7"/>
      <c r="G21" s="7"/>
      <c r="H21" s="7"/>
      <c r="I21" s="7"/>
      <c r="J21" s="7"/>
    </row>
    <row r="22" spans="2:10" ht="24" customHeight="1" x14ac:dyDescent="0.35"/>
    <row r="23" spans="2:10" ht="24" customHeight="1" x14ac:dyDescent="0.35">
      <c r="B23" s="6" t="s">
        <v>14</v>
      </c>
      <c r="C23" s="6"/>
      <c r="D23" s="6"/>
      <c r="E23" s="6"/>
      <c r="F23" s="6"/>
      <c r="G23" s="6"/>
      <c r="H23" s="6"/>
      <c r="I23" s="6"/>
      <c r="J23" s="6"/>
    </row>
    <row r="24" spans="2:10" ht="24" customHeight="1" x14ac:dyDescent="0.35">
      <c r="B24" s="6"/>
      <c r="C24" s="6"/>
      <c r="D24" s="6"/>
      <c r="E24" s="6"/>
      <c r="F24" s="6"/>
      <c r="G24" s="6"/>
      <c r="H24" s="6"/>
      <c r="I24" s="6"/>
      <c r="J24" s="6"/>
    </row>
    <row r="25" spans="2:10" ht="24" customHeight="1" x14ac:dyDescent="0.35">
      <c r="B25" s="6"/>
      <c r="C25" s="6"/>
      <c r="D25" s="6"/>
      <c r="E25" s="6"/>
      <c r="F25" s="6"/>
      <c r="G25" s="6"/>
      <c r="H25" s="6"/>
      <c r="I25" s="6"/>
      <c r="J25" s="6"/>
    </row>
    <row r="26" spans="2:10" ht="24" customHeight="1" x14ac:dyDescent="0.35"/>
    <row r="27" spans="2:10" ht="24" customHeight="1" x14ac:dyDescent="0.35"/>
  </sheetData>
  <mergeCells count="3">
    <mergeCell ref="B15:J15"/>
    <mergeCell ref="B16:J21"/>
    <mergeCell ref="B23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zoomScaleNormal="100" workbookViewId="0">
      <pane ySplit="1" topLeftCell="A2" activePane="bottomLeft" state="frozen"/>
      <selection pane="bottomLeft" activeCell="D9" sqref="D9"/>
    </sheetView>
  </sheetViews>
  <sheetFormatPr baseColWidth="10" defaultColWidth="8.6328125" defaultRowHeight="15" customHeight="1" x14ac:dyDescent="0.35"/>
  <cols>
    <col min="1" max="1" width="14" customWidth="1"/>
    <col min="2" max="2" width="10" customWidth="1"/>
    <col min="3" max="3" width="14" customWidth="1"/>
    <col min="4" max="4" width="16" customWidth="1"/>
    <col min="5" max="5" width="14" customWidth="1"/>
    <col min="6" max="6" width="4" customWidth="1"/>
  </cols>
  <sheetData>
    <row r="1" spans="1:6" ht="27.75" customHeight="1" x14ac:dyDescent="0.35">
      <c r="A1" s="5" t="s">
        <v>15</v>
      </c>
      <c r="B1" s="5"/>
      <c r="C1" s="5"/>
      <c r="D1" s="5"/>
      <c r="E1" s="5"/>
      <c r="F1" s="5"/>
    </row>
    <row r="2" spans="1:6" ht="14.5" x14ac:dyDescent="0.35">
      <c r="A2" s="14" t="s">
        <v>11</v>
      </c>
      <c r="B2" s="14" t="s">
        <v>16</v>
      </c>
      <c r="C2" s="14" t="s">
        <v>17</v>
      </c>
      <c r="D2" s="14" t="s">
        <v>18</v>
      </c>
      <c r="E2" s="14" t="s">
        <v>19</v>
      </c>
    </row>
    <row r="3" spans="1:6" ht="14.5" x14ac:dyDescent="0.35">
      <c r="A3" s="15">
        <v>45292</v>
      </c>
      <c r="B3">
        <v>2024</v>
      </c>
      <c r="C3" t="s">
        <v>20</v>
      </c>
      <c r="D3" t="s">
        <v>21</v>
      </c>
      <c r="E3" s="16">
        <v>40300</v>
      </c>
    </row>
    <row r="4" spans="1:6" ht="14.5" x14ac:dyDescent="0.35">
      <c r="A4" s="15">
        <v>45292</v>
      </c>
      <c r="B4">
        <v>2024</v>
      </c>
      <c r="C4" t="s">
        <v>20</v>
      </c>
      <c r="D4" t="s">
        <v>22</v>
      </c>
      <c r="E4" s="16">
        <v>25400</v>
      </c>
    </row>
    <row r="5" spans="1:6" ht="14.5" x14ac:dyDescent="0.35">
      <c r="A5" s="15">
        <v>45292</v>
      </c>
      <c r="B5">
        <v>2024</v>
      </c>
      <c r="C5" t="s">
        <v>20</v>
      </c>
      <c r="D5" t="s">
        <v>23</v>
      </c>
      <c r="E5" s="16">
        <v>18700</v>
      </c>
    </row>
    <row r="6" spans="1:6" ht="14.5" x14ac:dyDescent="0.35">
      <c r="A6" s="15">
        <v>45323</v>
      </c>
      <c r="B6">
        <v>2024</v>
      </c>
      <c r="C6" t="s">
        <v>24</v>
      </c>
      <c r="D6" t="s">
        <v>21</v>
      </c>
      <c r="E6" s="16">
        <v>42400</v>
      </c>
    </row>
    <row r="7" spans="1:6" ht="14.5" x14ac:dyDescent="0.35">
      <c r="A7" s="15">
        <v>45323</v>
      </c>
      <c r="B7">
        <v>2024</v>
      </c>
      <c r="C7" t="s">
        <v>24</v>
      </c>
      <c r="D7" t="s">
        <v>22</v>
      </c>
      <c r="E7" s="16">
        <v>26400</v>
      </c>
    </row>
    <row r="8" spans="1:6" ht="14.5" x14ac:dyDescent="0.35">
      <c r="A8" s="15">
        <v>45323</v>
      </c>
      <c r="B8">
        <v>2024</v>
      </c>
      <c r="C8" t="s">
        <v>24</v>
      </c>
      <c r="D8" t="s">
        <v>23</v>
      </c>
      <c r="E8" s="16">
        <v>19400</v>
      </c>
    </row>
    <row r="9" spans="1:6" ht="14.5" x14ac:dyDescent="0.35">
      <c r="A9" s="15">
        <v>45352</v>
      </c>
      <c r="B9">
        <v>2024</v>
      </c>
      <c r="C9" t="s">
        <v>25</v>
      </c>
      <c r="D9" t="s">
        <v>21</v>
      </c>
      <c r="E9" s="16">
        <v>45500</v>
      </c>
    </row>
    <row r="10" spans="1:6" ht="14.5" x14ac:dyDescent="0.35">
      <c r="A10" s="15">
        <v>45352</v>
      </c>
      <c r="B10">
        <v>2024</v>
      </c>
      <c r="C10" t="s">
        <v>25</v>
      </c>
      <c r="D10" t="s">
        <v>22</v>
      </c>
      <c r="E10" s="16">
        <v>28300</v>
      </c>
    </row>
    <row r="11" spans="1:6" ht="14.5" x14ac:dyDescent="0.35">
      <c r="A11" s="15">
        <v>45352</v>
      </c>
      <c r="B11">
        <v>2024</v>
      </c>
      <c r="C11" t="s">
        <v>25</v>
      </c>
      <c r="D11" t="s">
        <v>23</v>
      </c>
      <c r="E11" s="16">
        <v>20400</v>
      </c>
    </row>
    <row r="12" spans="1:6" ht="14.5" x14ac:dyDescent="0.35">
      <c r="A12" s="15">
        <v>45383</v>
      </c>
      <c r="B12">
        <v>2024</v>
      </c>
      <c r="C12" t="s">
        <v>26</v>
      </c>
      <c r="D12" t="s">
        <v>21</v>
      </c>
      <c r="E12" s="16">
        <v>48200</v>
      </c>
    </row>
    <row r="13" spans="1:6" ht="14.5" x14ac:dyDescent="0.35">
      <c r="A13" s="15">
        <v>45383</v>
      </c>
      <c r="B13">
        <v>2024</v>
      </c>
      <c r="C13" t="s">
        <v>26</v>
      </c>
      <c r="D13" t="s">
        <v>22</v>
      </c>
      <c r="E13" s="16">
        <v>29700</v>
      </c>
    </row>
    <row r="14" spans="1:6" ht="14.5" x14ac:dyDescent="0.35">
      <c r="A14" s="15">
        <v>45383</v>
      </c>
      <c r="B14">
        <v>2024</v>
      </c>
      <c r="C14" t="s">
        <v>26</v>
      </c>
      <c r="D14" t="s">
        <v>23</v>
      </c>
      <c r="E14" s="16">
        <v>19700</v>
      </c>
    </row>
    <row r="15" spans="1:6" ht="14.5" x14ac:dyDescent="0.35">
      <c r="A15" s="15">
        <v>45413</v>
      </c>
      <c r="B15">
        <v>2024</v>
      </c>
      <c r="C15" t="s">
        <v>27</v>
      </c>
      <c r="D15" t="s">
        <v>21</v>
      </c>
      <c r="E15" s="16">
        <v>50500</v>
      </c>
    </row>
    <row r="16" spans="1:6" ht="14.5" x14ac:dyDescent="0.35">
      <c r="A16" s="15">
        <v>45413</v>
      </c>
      <c r="B16">
        <v>2024</v>
      </c>
      <c r="C16" t="s">
        <v>27</v>
      </c>
      <c r="D16" t="s">
        <v>22</v>
      </c>
      <c r="E16" s="16">
        <v>31100</v>
      </c>
    </row>
    <row r="17" spans="1:5" ht="14.5" x14ac:dyDescent="0.35">
      <c r="A17" s="15">
        <v>45413</v>
      </c>
      <c r="B17">
        <v>2024</v>
      </c>
      <c r="C17" t="s">
        <v>27</v>
      </c>
      <c r="D17" t="s">
        <v>23</v>
      </c>
      <c r="E17" s="16">
        <v>19800</v>
      </c>
    </row>
    <row r="18" spans="1:5" ht="14.5" x14ac:dyDescent="0.35">
      <c r="A18" s="15">
        <v>45444</v>
      </c>
      <c r="B18">
        <v>2024</v>
      </c>
      <c r="C18" t="s">
        <v>28</v>
      </c>
      <c r="D18" t="s">
        <v>21</v>
      </c>
      <c r="E18" s="16">
        <v>53800</v>
      </c>
    </row>
    <row r="19" spans="1:5" ht="14.5" x14ac:dyDescent="0.35">
      <c r="A19" s="15">
        <v>45444</v>
      </c>
      <c r="B19">
        <v>2024</v>
      </c>
      <c r="C19" t="s">
        <v>28</v>
      </c>
      <c r="D19" t="s">
        <v>22</v>
      </c>
      <c r="E19" s="16">
        <v>32900</v>
      </c>
    </row>
    <row r="20" spans="1:5" ht="14.5" x14ac:dyDescent="0.35">
      <c r="A20" s="15">
        <v>45444</v>
      </c>
      <c r="B20">
        <v>2024</v>
      </c>
      <c r="C20" t="s">
        <v>28</v>
      </c>
      <c r="D20" t="s">
        <v>23</v>
      </c>
      <c r="E20" s="16">
        <v>19800</v>
      </c>
    </row>
    <row r="21" spans="1:5" ht="14.5" x14ac:dyDescent="0.35">
      <c r="A21" s="15">
        <v>45474</v>
      </c>
      <c r="B21">
        <v>2024</v>
      </c>
      <c r="C21" t="s">
        <v>29</v>
      </c>
      <c r="D21" t="s">
        <v>21</v>
      </c>
      <c r="E21" s="16">
        <v>54800</v>
      </c>
    </row>
    <row r="22" spans="1:5" ht="14.5" x14ac:dyDescent="0.35">
      <c r="A22" s="15">
        <v>45474</v>
      </c>
      <c r="B22">
        <v>2024</v>
      </c>
      <c r="C22" t="s">
        <v>29</v>
      </c>
      <c r="D22" t="s">
        <v>22</v>
      </c>
      <c r="E22" s="16">
        <v>33100</v>
      </c>
    </row>
    <row r="23" spans="1:5" ht="14.5" x14ac:dyDescent="0.35">
      <c r="A23" s="15">
        <v>45474</v>
      </c>
      <c r="B23">
        <v>2024</v>
      </c>
      <c r="C23" t="s">
        <v>29</v>
      </c>
      <c r="D23" t="s">
        <v>23</v>
      </c>
      <c r="E23" s="16">
        <v>20100</v>
      </c>
    </row>
    <row r="24" spans="1:5" ht="14.5" x14ac:dyDescent="0.35">
      <c r="A24" s="15">
        <v>45505</v>
      </c>
      <c r="B24">
        <v>2024</v>
      </c>
      <c r="C24" t="s">
        <v>30</v>
      </c>
      <c r="D24" t="s">
        <v>21</v>
      </c>
      <c r="E24" s="16">
        <v>58300</v>
      </c>
    </row>
    <row r="25" spans="1:5" ht="14.5" x14ac:dyDescent="0.35">
      <c r="A25" s="15">
        <v>45505</v>
      </c>
      <c r="B25">
        <v>2024</v>
      </c>
      <c r="C25" t="s">
        <v>30</v>
      </c>
      <c r="D25" t="s">
        <v>22</v>
      </c>
      <c r="E25" s="16">
        <v>34200</v>
      </c>
    </row>
    <row r="26" spans="1:5" ht="14.5" x14ac:dyDescent="0.35">
      <c r="A26" s="15">
        <v>45505</v>
      </c>
      <c r="B26">
        <v>2024</v>
      </c>
      <c r="C26" t="s">
        <v>30</v>
      </c>
      <c r="D26" t="s">
        <v>23</v>
      </c>
      <c r="E26" s="16">
        <v>21400</v>
      </c>
    </row>
    <row r="27" spans="1:5" ht="14.5" x14ac:dyDescent="0.35">
      <c r="A27" s="15">
        <v>45536</v>
      </c>
      <c r="B27">
        <v>2024</v>
      </c>
      <c r="C27" t="s">
        <v>31</v>
      </c>
      <c r="D27" t="s">
        <v>21</v>
      </c>
      <c r="E27" s="16">
        <v>61800</v>
      </c>
    </row>
    <row r="28" spans="1:5" ht="14.5" x14ac:dyDescent="0.35">
      <c r="A28" s="15">
        <v>45536</v>
      </c>
      <c r="B28">
        <v>2024</v>
      </c>
      <c r="C28" t="s">
        <v>31</v>
      </c>
      <c r="D28" t="s">
        <v>22</v>
      </c>
      <c r="E28" s="16">
        <v>36100</v>
      </c>
    </row>
    <row r="29" spans="1:5" ht="14.5" x14ac:dyDescent="0.35">
      <c r="A29" s="15">
        <v>45536</v>
      </c>
      <c r="B29">
        <v>2024</v>
      </c>
      <c r="C29" t="s">
        <v>31</v>
      </c>
      <c r="D29" t="s">
        <v>23</v>
      </c>
      <c r="E29" s="16">
        <v>22500</v>
      </c>
    </row>
    <row r="30" spans="1:5" ht="14.5" x14ac:dyDescent="0.35">
      <c r="A30" s="15">
        <v>45566</v>
      </c>
      <c r="B30">
        <v>2024</v>
      </c>
      <c r="C30" t="s">
        <v>32</v>
      </c>
      <c r="D30" t="s">
        <v>21</v>
      </c>
      <c r="E30" s="16">
        <v>66600</v>
      </c>
    </row>
    <row r="31" spans="1:5" ht="14.5" x14ac:dyDescent="0.35">
      <c r="A31" s="15">
        <v>45566</v>
      </c>
      <c r="B31">
        <v>2024</v>
      </c>
      <c r="C31" t="s">
        <v>32</v>
      </c>
      <c r="D31" t="s">
        <v>22</v>
      </c>
      <c r="E31" s="16">
        <v>38300</v>
      </c>
    </row>
    <row r="32" spans="1:5" ht="14.5" x14ac:dyDescent="0.35">
      <c r="A32" s="15">
        <v>45566</v>
      </c>
      <c r="B32">
        <v>2024</v>
      </c>
      <c r="C32" t="s">
        <v>32</v>
      </c>
      <c r="D32" t="s">
        <v>23</v>
      </c>
      <c r="E32" s="16">
        <v>23400</v>
      </c>
    </row>
    <row r="33" spans="1:5" ht="14.5" x14ac:dyDescent="0.35">
      <c r="A33" s="15">
        <v>45597</v>
      </c>
      <c r="B33">
        <v>2024</v>
      </c>
      <c r="C33" t="s">
        <v>33</v>
      </c>
      <c r="D33" t="s">
        <v>21</v>
      </c>
      <c r="E33" s="16">
        <v>73200</v>
      </c>
    </row>
    <row r="34" spans="1:5" ht="14.5" x14ac:dyDescent="0.35">
      <c r="A34" s="15">
        <v>45597</v>
      </c>
      <c r="B34">
        <v>2024</v>
      </c>
      <c r="C34" t="s">
        <v>33</v>
      </c>
      <c r="D34" t="s">
        <v>22</v>
      </c>
      <c r="E34" s="16">
        <v>41300</v>
      </c>
    </row>
    <row r="35" spans="1:5" ht="14.5" x14ac:dyDescent="0.35">
      <c r="A35" s="15">
        <v>45597</v>
      </c>
      <c r="B35">
        <v>2024</v>
      </c>
      <c r="C35" t="s">
        <v>33</v>
      </c>
      <c r="D35" t="s">
        <v>23</v>
      </c>
      <c r="E35" s="16">
        <v>24100</v>
      </c>
    </row>
    <row r="36" spans="1:5" ht="14.5" x14ac:dyDescent="0.35">
      <c r="A36" s="15">
        <v>45627</v>
      </c>
      <c r="B36">
        <v>2024</v>
      </c>
      <c r="C36" t="s">
        <v>34</v>
      </c>
      <c r="D36" t="s">
        <v>21</v>
      </c>
      <c r="E36" s="16">
        <v>82200</v>
      </c>
    </row>
    <row r="37" spans="1:5" ht="14.5" x14ac:dyDescent="0.35">
      <c r="A37" s="15">
        <v>45627</v>
      </c>
      <c r="B37">
        <v>2024</v>
      </c>
      <c r="C37" t="s">
        <v>34</v>
      </c>
      <c r="D37" t="s">
        <v>22</v>
      </c>
      <c r="E37" s="16">
        <v>45800</v>
      </c>
    </row>
    <row r="38" spans="1:5" ht="14.5" x14ac:dyDescent="0.35">
      <c r="A38" s="15">
        <v>45627</v>
      </c>
      <c r="B38">
        <v>2024</v>
      </c>
      <c r="C38" t="s">
        <v>34</v>
      </c>
      <c r="D38" t="s">
        <v>23</v>
      </c>
      <c r="E38" s="16">
        <v>25200</v>
      </c>
    </row>
    <row r="39" spans="1:5" ht="14.5" x14ac:dyDescent="0.35">
      <c r="A39" s="15">
        <v>45658</v>
      </c>
      <c r="B39">
        <v>2025</v>
      </c>
      <c r="C39" t="s">
        <v>20</v>
      </c>
      <c r="D39" t="s">
        <v>21</v>
      </c>
      <c r="E39" s="16">
        <v>55300</v>
      </c>
    </row>
    <row r="40" spans="1:5" ht="14.5" x14ac:dyDescent="0.35">
      <c r="A40" s="15">
        <v>45658</v>
      </c>
      <c r="B40">
        <v>2025</v>
      </c>
      <c r="C40" t="s">
        <v>20</v>
      </c>
      <c r="D40" t="s">
        <v>22</v>
      </c>
      <c r="E40" s="16">
        <v>34400</v>
      </c>
    </row>
    <row r="41" spans="1:5" ht="14.5" x14ac:dyDescent="0.35">
      <c r="A41" s="15">
        <v>45658</v>
      </c>
      <c r="B41">
        <v>2025</v>
      </c>
      <c r="C41" t="s">
        <v>20</v>
      </c>
      <c r="D41" t="s">
        <v>23</v>
      </c>
      <c r="E41" s="16">
        <v>24300</v>
      </c>
    </row>
    <row r="42" spans="1:5" ht="14.5" x14ac:dyDescent="0.35">
      <c r="A42" s="15">
        <v>45689</v>
      </c>
      <c r="B42">
        <v>2025</v>
      </c>
      <c r="C42" t="s">
        <v>24</v>
      </c>
      <c r="D42" t="s">
        <v>21</v>
      </c>
      <c r="E42" s="16">
        <v>57700</v>
      </c>
    </row>
    <row r="43" spans="1:5" ht="14.5" x14ac:dyDescent="0.35">
      <c r="A43" s="15">
        <v>45689</v>
      </c>
      <c r="B43">
        <v>2025</v>
      </c>
      <c r="C43" t="s">
        <v>24</v>
      </c>
      <c r="D43" t="s">
        <v>22</v>
      </c>
      <c r="E43" s="16">
        <v>35500</v>
      </c>
    </row>
    <row r="44" spans="1:5" ht="14.5" x14ac:dyDescent="0.35">
      <c r="A44" s="15">
        <v>45689</v>
      </c>
      <c r="B44">
        <v>2025</v>
      </c>
      <c r="C44" t="s">
        <v>24</v>
      </c>
      <c r="D44" t="s">
        <v>23</v>
      </c>
      <c r="E44" s="16">
        <v>25000</v>
      </c>
    </row>
    <row r="45" spans="1:5" ht="14.5" x14ac:dyDescent="0.35">
      <c r="A45" s="15">
        <v>45717</v>
      </c>
      <c r="B45">
        <v>2025</v>
      </c>
      <c r="C45" t="s">
        <v>25</v>
      </c>
      <c r="D45" t="s">
        <v>21</v>
      </c>
      <c r="E45" s="16">
        <v>61400</v>
      </c>
    </row>
    <row r="46" spans="1:5" ht="14.5" x14ac:dyDescent="0.35">
      <c r="A46" s="15">
        <v>45717</v>
      </c>
      <c r="B46">
        <v>2025</v>
      </c>
      <c r="C46" t="s">
        <v>25</v>
      </c>
      <c r="D46" t="s">
        <v>22</v>
      </c>
      <c r="E46" s="16">
        <v>37800</v>
      </c>
    </row>
    <row r="47" spans="1:5" ht="14.5" x14ac:dyDescent="0.35">
      <c r="A47" s="15">
        <v>45717</v>
      </c>
      <c r="B47">
        <v>2025</v>
      </c>
      <c r="C47" t="s">
        <v>25</v>
      </c>
      <c r="D47" t="s">
        <v>23</v>
      </c>
      <c r="E47" s="16">
        <v>26200</v>
      </c>
    </row>
    <row r="48" spans="1:5" ht="14.5" x14ac:dyDescent="0.35">
      <c r="A48" s="15">
        <v>45748</v>
      </c>
      <c r="B48">
        <v>2025</v>
      </c>
      <c r="C48" t="s">
        <v>26</v>
      </c>
      <c r="D48" t="s">
        <v>21</v>
      </c>
      <c r="E48" s="16">
        <v>64600</v>
      </c>
    </row>
    <row r="49" spans="1:5" ht="14.5" x14ac:dyDescent="0.35">
      <c r="A49" s="15">
        <v>45748</v>
      </c>
      <c r="B49">
        <v>2025</v>
      </c>
      <c r="C49" t="s">
        <v>26</v>
      </c>
      <c r="D49" t="s">
        <v>22</v>
      </c>
      <c r="E49" s="16">
        <v>39400</v>
      </c>
    </row>
    <row r="50" spans="1:5" ht="14.5" x14ac:dyDescent="0.35">
      <c r="A50" s="15">
        <v>45748</v>
      </c>
      <c r="B50">
        <v>2025</v>
      </c>
      <c r="C50" t="s">
        <v>26</v>
      </c>
      <c r="D50" t="s">
        <v>23</v>
      </c>
      <c r="E50" s="16">
        <v>25200</v>
      </c>
    </row>
    <row r="51" spans="1:5" ht="14.5" x14ac:dyDescent="0.35">
      <c r="A51" s="15">
        <v>45778</v>
      </c>
      <c r="B51">
        <v>2025</v>
      </c>
      <c r="C51" t="s">
        <v>27</v>
      </c>
      <c r="D51" t="s">
        <v>21</v>
      </c>
      <c r="E51" s="16">
        <v>67200</v>
      </c>
    </row>
    <row r="52" spans="1:5" ht="14.5" x14ac:dyDescent="0.35">
      <c r="A52" s="15">
        <v>45778</v>
      </c>
      <c r="B52">
        <v>2025</v>
      </c>
      <c r="C52" t="s">
        <v>27</v>
      </c>
      <c r="D52" t="s">
        <v>22</v>
      </c>
      <c r="E52" s="16">
        <v>41000</v>
      </c>
    </row>
    <row r="53" spans="1:5" ht="14.5" x14ac:dyDescent="0.35">
      <c r="A53" s="15">
        <v>45778</v>
      </c>
      <c r="B53">
        <v>2025</v>
      </c>
      <c r="C53" t="s">
        <v>27</v>
      </c>
      <c r="D53" t="s">
        <v>23</v>
      </c>
      <c r="E53" s="16">
        <v>25200</v>
      </c>
    </row>
    <row r="54" spans="1:5" ht="14.5" x14ac:dyDescent="0.35">
      <c r="A54" s="15">
        <v>45809</v>
      </c>
      <c r="B54">
        <v>2025</v>
      </c>
      <c r="C54" t="s">
        <v>28</v>
      </c>
      <c r="D54" t="s">
        <v>21</v>
      </c>
      <c r="E54" s="16">
        <v>71200</v>
      </c>
    </row>
    <row r="55" spans="1:5" ht="14.5" x14ac:dyDescent="0.35">
      <c r="A55" s="15">
        <v>45809</v>
      </c>
      <c r="B55">
        <v>2025</v>
      </c>
      <c r="C55" t="s">
        <v>28</v>
      </c>
      <c r="D55" t="s">
        <v>22</v>
      </c>
      <c r="E55" s="16">
        <v>43000</v>
      </c>
    </row>
    <row r="56" spans="1:5" ht="14.5" x14ac:dyDescent="0.35">
      <c r="A56" s="15">
        <v>45809</v>
      </c>
      <c r="B56">
        <v>2025</v>
      </c>
      <c r="C56" t="s">
        <v>28</v>
      </c>
      <c r="D56" t="s">
        <v>23</v>
      </c>
      <c r="E56" s="16">
        <v>25100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showGridLines="0" topLeftCell="A8" zoomScale="70" zoomScaleNormal="70" workbookViewId="0">
      <selection activeCell="F17" sqref="F17:J21"/>
    </sheetView>
  </sheetViews>
  <sheetFormatPr baseColWidth="10" defaultColWidth="8.6328125" defaultRowHeight="15" customHeight="1" x14ac:dyDescent="0.35"/>
  <cols>
    <col min="1" max="1" width="39.453125" customWidth="1"/>
    <col min="2" max="2" width="16" customWidth="1"/>
    <col min="3" max="3" width="4" customWidth="1"/>
    <col min="4" max="4" width="36.36328125" customWidth="1"/>
    <col min="5" max="5" width="16" customWidth="1"/>
    <col min="6" max="6" width="15" customWidth="1"/>
    <col min="7" max="8" width="18" customWidth="1"/>
    <col min="9" max="10" width="16" customWidth="1"/>
  </cols>
  <sheetData>
    <row r="1" spans="1:10" ht="27.75" customHeight="1" x14ac:dyDescent="0.35">
      <c r="A1" s="5" t="s">
        <v>35</v>
      </c>
      <c r="B1" s="5"/>
      <c r="C1" s="5"/>
      <c r="D1" s="5"/>
      <c r="E1" s="5"/>
      <c r="F1" s="5"/>
      <c r="G1" s="5"/>
      <c r="H1" s="5"/>
      <c r="I1" s="5"/>
      <c r="J1" s="5"/>
    </row>
    <row r="3" spans="1:10" ht="24" customHeight="1" x14ac:dyDescent="0.35">
      <c r="A3" s="4" t="s">
        <v>36</v>
      </c>
      <c r="B3" s="4"/>
      <c r="C3" s="4"/>
      <c r="D3" s="4"/>
      <c r="E3" s="4"/>
      <c r="F3" s="4"/>
      <c r="G3" s="4"/>
      <c r="H3" s="4"/>
      <c r="I3" s="4"/>
      <c r="J3" s="4"/>
    </row>
    <row r="4" spans="1:10" ht="24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6" spans="1:10" x14ac:dyDescent="0.35">
      <c r="A6" s="17" t="s">
        <v>37</v>
      </c>
      <c r="B6" s="18">
        <f>SUM(Datos!$E$3:$E$56)</f>
        <v>2094200</v>
      </c>
      <c r="D6" s="19" t="s">
        <v>38</v>
      </c>
      <c r="E6" s="18">
        <f>AVERAGE(B13:B30)</f>
        <v>116344.44444444444</v>
      </c>
      <c r="G6" s="17" t="s">
        <v>39</v>
      </c>
      <c r="H6" s="20" t="str">
        <f>INDEX(F13:F15,MATCH(MAX(G13:G15),G13:G15,0))</f>
        <v>Tecnología</v>
      </c>
    </row>
    <row r="8" spans="1:10" ht="76" x14ac:dyDescent="0.35">
      <c r="A8" s="21" t="s">
        <v>40</v>
      </c>
      <c r="B8" s="22">
        <f>INDEX(A13:A30,MATCH(MAX(B13:B30),B13:B30,0))</f>
        <v>45627</v>
      </c>
      <c r="D8" s="23" t="s">
        <v>41</v>
      </c>
      <c r="E8" s="22" t="s">
        <v>54</v>
      </c>
      <c r="G8" s="21" t="s">
        <v>42</v>
      </c>
      <c r="H8" s="24" t="s">
        <v>43</v>
      </c>
    </row>
    <row r="12" spans="1:10" ht="19.5" customHeight="1" x14ac:dyDescent="0.35">
      <c r="A12" s="14" t="s">
        <v>17</v>
      </c>
      <c r="B12" s="14" t="s">
        <v>44</v>
      </c>
      <c r="F12" s="25" t="s">
        <v>18</v>
      </c>
      <c r="G12" s="25" t="s">
        <v>45</v>
      </c>
    </row>
    <row r="13" spans="1:10" ht="19.5" customHeight="1" x14ac:dyDescent="0.35">
      <c r="A13" s="26">
        <v>45292</v>
      </c>
      <c r="B13" s="27">
        <f>SUMIFS(Datos!$E$3:$E$56,Datos!$A$3:$A$56,A13)</f>
        <v>84400</v>
      </c>
      <c r="F13" s="28" t="s">
        <v>21</v>
      </c>
      <c r="G13" s="27">
        <f>SUMIFS(Datos!$E$3:$E$56,Datos!$D$3:$D$56,F13)</f>
        <v>1055000</v>
      </c>
    </row>
    <row r="14" spans="1:10" ht="19.5" customHeight="1" x14ac:dyDescent="0.35">
      <c r="A14" s="26">
        <v>45323</v>
      </c>
      <c r="B14" s="27">
        <f>SUMIFS(Datos!$E$3:$E$56,Datos!$A$3:$A$56,A14)</f>
        <v>88200</v>
      </c>
      <c r="F14" s="28" t="s">
        <v>22</v>
      </c>
      <c r="G14" s="27">
        <f>SUMIFS(Datos!$E$3:$E$56,Datos!$D$3:$D$56,F14)</f>
        <v>633700</v>
      </c>
    </row>
    <row r="15" spans="1:10" ht="19.5" customHeight="1" x14ac:dyDescent="0.35">
      <c r="A15" s="26">
        <v>45352</v>
      </c>
      <c r="B15" s="27">
        <f>SUMIFS(Datos!$E$3:$E$56,Datos!$A$3:$A$56,A15)</f>
        <v>94200</v>
      </c>
      <c r="F15" s="28" t="s">
        <v>23</v>
      </c>
      <c r="G15" s="27">
        <f>SUMIFS(Datos!$E$3:$E$56,Datos!$D$3:$D$56,F15)</f>
        <v>405500</v>
      </c>
    </row>
    <row r="16" spans="1:10" ht="19.5" customHeight="1" x14ac:dyDescent="0.35">
      <c r="A16" s="26">
        <v>45383</v>
      </c>
      <c r="B16" s="27">
        <f>SUMIFS(Datos!$E$3:$E$56,Datos!$A$3:$A$56,A16)</f>
        <v>97600</v>
      </c>
    </row>
    <row r="17" spans="1:10" ht="19.5" customHeight="1" x14ac:dyDescent="0.35">
      <c r="A17" s="26">
        <v>45413</v>
      </c>
      <c r="B17" s="27">
        <f>SUMIFS(Datos!$E$3:$E$56,Datos!$A$3:$A$56,A17)</f>
        <v>101400</v>
      </c>
      <c r="F17" s="3" t="s">
        <v>46</v>
      </c>
      <c r="G17" s="3"/>
      <c r="H17" s="3"/>
      <c r="I17" s="3"/>
      <c r="J17" s="3"/>
    </row>
    <row r="18" spans="1:10" ht="19.5" customHeight="1" x14ac:dyDescent="0.35">
      <c r="A18" s="26">
        <v>45444</v>
      </c>
      <c r="B18" s="27">
        <f>SUMIFS(Datos!$E$3:$E$56,Datos!$A$3:$A$56,A18)</f>
        <v>106500</v>
      </c>
      <c r="F18" s="3"/>
      <c r="G18" s="3"/>
      <c r="H18" s="3"/>
      <c r="I18" s="3"/>
      <c r="J18" s="3"/>
    </row>
    <row r="19" spans="1:10" ht="19.5" customHeight="1" x14ac:dyDescent="0.35">
      <c r="A19" s="26">
        <v>45474</v>
      </c>
      <c r="B19" s="27">
        <f>SUMIFS(Datos!$E$3:$E$56,Datos!$A$3:$A$56,A19)</f>
        <v>108000</v>
      </c>
      <c r="F19" s="3"/>
      <c r="G19" s="3"/>
      <c r="H19" s="3"/>
      <c r="I19" s="3"/>
      <c r="J19" s="3"/>
    </row>
    <row r="20" spans="1:10" ht="19.5" customHeight="1" x14ac:dyDescent="0.35">
      <c r="A20" s="26">
        <v>45505</v>
      </c>
      <c r="B20" s="27">
        <f>SUMIFS(Datos!$E$3:$E$56,Datos!$A$3:$A$56,A20)</f>
        <v>113900</v>
      </c>
      <c r="F20" s="3"/>
      <c r="G20" s="3"/>
      <c r="H20" s="3"/>
      <c r="I20" s="3"/>
      <c r="J20" s="3"/>
    </row>
    <row r="21" spans="1:10" ht="19.5" customHeight="1" x14ac:dyDescent="0.35">
      <c r="A21" s="26">
        <v>45536</v>
      </c>
      <c r="B21" s="27">
        <f>SUMIFS(Datos!$E$3:$E$56,Datos!$A$3:$A$56,A21)</f>
        <v>120400</v>
      </c>
      <c r="F21" s="3"/>
      <c r="G21" s="3"/>
      <c r="H21" s="3"/>
      <c r="I21" s="3"/>
      <c r="J21" s="3"/>
    </row>
    <row r="22" spans="1:10" ht="19.5" customHeight="1" x14ac:dyDescent="0.35">
      <c r="A22" s="26">
        <v>45566</v>
      </c>
      <c r="B22" s="27">
        <f>SUMIFS(Datos!$E$3:$E$56,Datos!$A$3:$A$56,A22)</f>
        <v>128300</v>
      </c>
    </row>
    <row r="23" spans="1:10" ht="19.5" customHeight="1" x14ac:dyDescent="0.35">
      <c r="A23" s="26">
        <v>45597</v>
      </c>
      <c r="B23" s="27">
        <f>SUMIFS(Datos!$E$3:$E$56,Datos!$A$3:$A$56,A23)</f>
        <v>138600</v>
      </c>
    </row>
    <row r="24" spans="1:10" ht="19.5" customHeight="1" x14ac:dyDescent="0.35">
      <c r="A24" s="26">
        <v>45627</v>
      </c>
      <c r="B24" s="27">
        <f>SUMIFS(Datos!$E$3:$E$56,Datos!$A$3:$A$56,A24)</f>
        <v>153200</v>
      </c>
    </row>
    <row r="25" spans="1:10" ht="19.5" customHeight="1" x14ac:dyDescent="0.35">
      <c r="A25" s="26">
        <v>45658</v>
      </c>
      <c r="B25" s="27">
        <f>SUMIFS(Datos!$E$3:$E$56,Datos!$A$3:$A$56,A25)</f>
        <v>114000</v>
      </c>
    </row>
    <row r="26" spans="1:10" ht="19.5" customHeight="1" x14ac:dyDescent="0.35">
      <c r="A26" s="26">
        <v>45689</v>
      </c>
      <c r="B26" s="27">
        <f>SUMIFS(Datos!$E$3:$E$56,Datos!$A$3:$A$56,A26)</f>
        <v>118200</v>
      </c>
    </row>
    <row r="27" spans="1:10" ht="19.5" customHeight="1" x14ac:dyDescent="0.35">
      <c r="A27" s="26">
        <v>45717</v>
      </c>
      <c r="B27" s="27">
        <f>SUMIFS(Datos!$E$3:$E$56,Datos!$A$3:$A$56,A27)</f>
        <v>125400</v>
      </c>
    </row>
    <row r="28" spans="1:10" ht="19.5" customHeight="1" x14ac:dyDescent="0.35">
      <c r="A28" s="26">
        <v>45748</v>
      </c>
      <c r="B28" s="27">
        <f>SUMIFS(Datos!$E$3:$E$56,Datos!$A$3:$A$56,A28)</f>
        <v>129200</v>
      </c>
    </row>
    <row r="29" spans="1:10" ht="19.5" customHeight="1" x14ac:dyDescent="0.35">
      <c r="A29" s="26">
        <v>45778</v>
      </c>
      <c r="B29" s="27">
        <f>SUMIFS(Datos!$E$3:$E$56,Datos!$A$3:$A$56,A29)</f>
        <v>133400</v>
      </c>
    </row>
    <row r="30" spans="1:10" ht="19.5" customHeight="1" x14ac:dyDescent="0.35">
      <c r="A30" s="26">
        <v>45809</v>
      </c>
      <c r="B30" s="27">
        <f>SUMIFS(Datos!$E$3:$E$56,Datos!$A$3:$A$56,A30)</f>
        <v>139300</v>
      </c>
    </row>
  </sheetData>
  <mergeCells count="3">
    <mergeCell ref="A1:J1"/>
    <mergeCell ref="A3:J4"/>
    <mergeCell ref="F17:J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showGridLines="0" tabSelected="1" zoomScale="85" zoomScaleNormal="85" workbookViewId="0">
      <selection activeCell="H13" sqref="H13"/>
    </sheetView>
  </sheetViews>
  <sheetFormatPr baseColWidth="10" defaultColWidth="8.6328125" defaultRowHeight="15" customHeight="1" x14ac:dyDescent="0.35"/>
  <cols>
    <col min="1" max="3" width="14" customWidth="1"/>
    <col min="4" max="4" width="10" customWidth="1"/>
    <col min="5" max="5" width="4" customWidth="1"/>
    <col min="6" max="6" width="24" customWidth="1"/>
    <col min="7" max="7" width="18" customWidth="1"/>
    <col min="8" max="8" width="12" customWidth="1"/>
  </cols>
  <sheetData>
    <row r="1" spans="1:8" ht="27.75" customHeight="1" x14ac:dyDescent="0.35">
      <c r="A1" s="2" t="s">
        <v>47</v>
      </c>
      <c r="B1" s="2"/>
      <c r="C1" s="2"/>
      <c r="D1" s="2"/>
      <c r="E1" s="2"/>
      <c r="F1" s="2"/>
      <c r="G1" s="2"/>
      <c r="H1" s="2"/>
    </row>
    <row r="3" spans="1:8" ht="15" customHeight="1" x14ac:dyDescent="0.35">
      <c r="A3" s="1" t="s">
        <v>55</v>
      </c>
      <c r="B3" s="1"/>
      <c r="C3" s="1"/>
      <c r="D3" s="1"/>
      <c r="E3" s="1"/>
      <c r="F3" s="1"/>
      <c r="G3" s="1"/>
      <c r="H3" s="1"/>
    </row>
    <row r="4" spans="1:8" ht="14.5" x14ac:dyDescent="0.35">
      <c r="A4" s="1"/>
      <c r="B4" s="1"/>
      <c r="C4" s="1"/>
      <c r="D4" s="1"/>
      <c r="E4" s="1"/>
      <c r="F4" s="1"/>
      <c r="G4" s="1"/>
      <c r="H4" s="1"/>
    </row>
    <row r="6" spans="1:8" ht="14.5" x14ac:dyDescent="0.35">
      <c r="A6" s="14" t="s">
        <v>17</v>
      </c>
      <c r="B6" s="14" t="s">
        <v>48</v>
      </c>
      <c r="C6" s="14" t="s">
        <v>49</v>
      </c>
      <c r="D6" s="14" t="s">
        <v>50</v>
      </c>
      <c r="F6" s="21" t="s">
        <v>51</v>
      </c>
    </row>
    <row r="7" spans="1:8" ht="14.5" x14ac:dyDescent="0.35">
      <c r="A7" s="26">
        <v>45292</v>
      </c>
      <c r="B7" s="27">
        <f>Analisis!B13</f>
        <v>84400</v>
      </c>
      <c r="D7" s="28">
        <v>1</v>
      </c>
      <c r="F7" s="29">
        <f>INDEX(A25:A27,MATCH(MAX(C25:C27),C25:C27,0))</f>
        <v>45901</v>
      </c>
    </row>
    <row r="8" spans="1:8" ht="14.5" x14ac:dyDescent="0.35">
      <c r="A8" s="26">
        <v>45323</v>
      </c>
      <c r="B8" s="27">
        <f>Analisis!B14</f>
        <v>88200</v>
      </c>
      <c r="D8" s="28">
        <v>2</v>
      </c>
      <c r="F8" s="21" t="s">
        <v>52</v>
      </c>
    </row>
    <row r="9" spans="1:8" ht="14.5" x14ac:dyDescent="0.35">
      <c r="A9" s="26">
        <v>45352</v>
      </c>
      <c r="B9" s="27">
        <f>Analisis!B15</f>
        <v>94200</v>
      </c>
      <c r="D9" s="28">
        <v>3</v>
      </c>
      <c r="F9" s="30">
        <f>MAX(C25:C27)</f>
        <v>150569.10904712763</v>
      </c>
    </row>
    <row r="10" spans="1:8" ht="14.5" x14ac:dyDescent="0.35">
      <c r="A10" s="26">
        <v>45383</v>
      </c>
      <c r="B10" s="27">
        <f>Analisis!B16</f>
        <v>97600</v>
      </c>
      <c r="D10" s="28">
        <v>4</v>
      </c>
    </row>
    <row r="11" spans="1:8" ht="14.5" x14ac:dyDescent="0.35">
      <c r="A11" s="26">
        <v>45413</v>
      </c>
      <c r="B11" s="27">
        <f>Analisis!B17</f>
        <v>101400</v>
      </c>
      <c r="D11" s="28">
        <v>5</v>
      </c>
    </row>
    <row r="12" spans="1:8" ht="14.5" x14ac:dyDescent="0.35">
      <c r="A12" s="26">
        <v>45444</v>
      </c>
      <c r="B12" s="27">
        <f>Analisis!B18</f>
        <v>106500</v>
      </c>
      <c r="D12" s="28">
        <v>6</v>
      </c>
    </row>
    <row r="13" spans="1:8" ht="14.5" x14ac:dyDescent="0.35">
      <c r="A13" s="26">
        <v>45474</v>
      </c>
      <c r="B13" s="27">
        <f>Analisis!B19</f>
        <v>108000</v>
      </c>
      <c r="D13" s="28">
        <v>7</v>
      </c>
      <c r="H13" s="31"/>
    </row>
    <row r="14" spans="1:8" ht="14.5" x14ac:dyDescent="0.35">
      <c r="A14" s="26">
        <v>45505</v>
      </c>
      <c r="B14" s="27">
        <f>Analisis!B20</f>
        <v>113900</v>
      </c>
      <c r="D14" s="28">
        <v>8</v>
      </c>
    </row>
    <row r="15" spans="1:8" ht="14.5" x14ac:dyDescent="0.35">
      <c r="A15" s="26">
        <v>45536</v>
      </c>
      <c r="B15" s="27">
        <f>Analisis!B21</f>
        <v>120400</v>
      </c>
      <c r="D15" s="28">
        <v>9</v>
      </c>
    </row>
    <row r="16" spans="1:8" ht="14.5" x14ac:dyDescent="0.35">
      <c r="A16" s="26">
        <v>45566</v>
      </c>
      <c r="B16" s="27">
        <f>Analisis!B22</f>
        <v>128300</v>
      </c>
      <c r="D16" s="28">
        <v>10</v>
      </c>
    </row>
    <row r="17" spans="1:4" ht="14.5" x14ac:dyDescent="0.35">
      <c r="A17" s="26">
        <v>45597</v>
      </c>
      <c r="B17" s="27">
        <f>Analisis!B23</f>
        <v>138600</v>
      </c>
      <c r="D17" s="28">
        <v>11</v>
      </c>
    </row>
    <row r="18" spans="1:4" ht="14.5" x14ac:dyDescent="0.35">
      <c r="A18" s="26">
        <v>45627</v>
      </c>
      <c r="B18" s="27">
        <f>Analisis!B24</f>
        <v>153200</v>
      </c>
      <c r="D18" s="28">
        <v>12</v>
      </c>
    </row>
    <row r="19" spans="1:4" ht="14.5" x14ac:dyDescent="0.35">
      <c r="A19" s="26">
        <v>45658</v>
      </c>
      <c r="B19" s="27">
        <f>Analisis!B25</f>
        <v>114000</v>
      </c>
      <c r="D19" s="28">
        <v>13</v>
      </c>
    </row>
    <row r="20" spans="1:4" ht="14.5" x14ac:dyDescent="0.35">
      <c r="A20" s="26">
        <v>45689</v>
      </c>
      <c r="B20" s="27">
        <f>Analisis!B26</f>
        <v>118200</v>
      </c>
      <c r="D20" s="28">
        <v>14</v>
      </c>
    </row>
    <row r="21" spans="1:4" ht="14.5" x14ac:dyDescent="0.35">
      <c r="A21" s="26">
        <v>45717</v>
      </c>
      <c r="B21" s="27">
        <f>Analisis!B27</f>
        <v>125400</v>
      </c>
      <c r="D21" s="28">
        <v>15</v>
      </c>
    </row>
    <row r="22" spans="1:4" ht="14.5" x14ac:dyDescent="0.35">
      <c r="A22" s="26">
        <v>45748</v>
      </c>
      <c r="B22" s="27">
        <f>Analisis!B28</f>
        <v>129200</v>
      </c>
      <c r="D22" s="28">
        <v>16</v>
      </c>
    </row>
    <row r="23" spans="1:4" ht="14.5" x14ac:dyDescent="0.35">
      <c r="A23" s="26">
        <v>45778</v>
      </c>
      <c r="B23" s="27">
        <f>Analisis!B29</f>
        <v>133400</v>
      </c>
      <c r="D23" s="28">
        <v>17</v>
      </c>
    </row>
    <row r="24" spans="1:4" ht="14.5" x14ac:dyDescent="0.35">
      <c r="A24" s="26">
        <v>45809</v>
      </c>
      <c r="B24" s="27">
        <f>Analisis!B30</f>
        <v>139300</v>
      </c>
      <c r="D24" s="28">
        <v>18</v>
      </c>
    </row>
    <row r="25" spans="1:4" ht="14.5" x14ac:dyDescent="0.35">
      <c r="A25" s="26">
        <f>EDATE(A24,1)</f>
        <v>45839</v>
      </c>
      <c r="C25" s="27">
        <f>TREND($B$7:$B$24,$D$7:$D$24,D25)</f>
        <v>144616.9934640523</v>
      </c>
      <c r="D25" s="28">
        <v>19</v>
      </c>
    </row>
    <row r="26" spans="1:4" ht="14.5" x14ac:dyDescent="0.35">
      <c r="A26" s="26">
        <f>EDATE(A24,2)</f>
        <v>45870</v>
      </c>
      <c r="C26" s="27">
        <f>TREND($B$7:$B$24,$D$7:$D$24,D26)</f>
        <v>147593.05125558996</v>
      </c>
      <c r="D26" s="28">
        <v>20</v>
      </c>
    </row>
    <row r="27" spans="1:4" ht="14.5" x14ac:dyDescent="0.35">
      <c r="A27" s="26">
        <f>EDATE(A24,3)</f>
        <v>45901</v>
      </c>
      <c r="C27" s="27">
        <f>TREND($B$7:$B$24,$D$7:$D$24,D27)</f>
        <v>150569.10904712763</v>
      </c>
      <c r="D27" s="28">
        <v>21</v>
      </c>
    </row>
  </sheetData>
  <mergeCells count="2">
    <mergeCell ref="A1:H1"/>
    <mergeCell ref="A3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Datos</vt:lpstr>
      <vt:lpstr>Analisis</vt:lpstr>
      <vt:lpstr>Pronostico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Salvador</dc:creator>
  <cp:lastModifiedBy>Alexandra Salvador</cp:lastModifiedBy>
  <dcterms:created xsi:type="dcterms:W3CDTF">2026-03-11T00:52:23Z</dcterms:created>
  <dcterms:modified xsi:type="dcterms:W3CDTF">2026-03-11T00:52:23Z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2026-03-10T23:03:06Z</dcterms:created>
  <dc:creator>openpyxl</dc:creator>
  <dc:description/>
  <dc:language>en-US</dc:language>
  <cp:lastModifiedBy/>
  <dcterms:modified xsi:type="dcterms:W3CDTF">2026-03-10T23:03:58Z</dcterms:modified>
  <cp:revision>0</cp:revision>
  <dc:subject/>
  <dc:title/>
</cp:coreProperties>
</file>